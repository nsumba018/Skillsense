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20" yWindow="-120" windowWidth="20730" windowHeight="11310" activeTab="2"/>
  </bookViews>
  <sheets>
    <sheet name="Networking" sheetId="1" r:id="rId1"/>
    <sheet name="Software" sheetId="2" r:id="rId2"/>
    <sheet name="Information-Mgt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2" l="1"/>
  <c r="C17" i="2"/>
  <c r="C24" i="2"/>
  <c r="C30" i="2"/>
  <c r="C37" i="2"/>
  <c r="C43" i="2"/>
  <c r="C49" i="2"/>
  <c r="C53" i="2"/>
  <c r="C55" i="2" s="1"/>
  <c r="C54" i="3"/>
  <c r="C50" i="3"/>
  <c r="C44" i="3"/>
  <c r="C37" i="3"/>
  <c r="C31" i="3"/>
  <c r="C24" i="3"/>
  <c r="C17" i="3"/>
  <c r="C10" i="3"/>
  <c r="C56" i="3" l="1"/>
  <c r="C53" i="1" l="1"/>
  <c r="C49" i="1"/>
  <c r="C43" i="1"/>
  <c r="C37" i="1"/>
  <c r="C31" i="1"/>
  <c r="C24" i="1"/>
  <c r="C17" i="1"/>
  <c r="C10" i="1"/>
  <c r="C55" i="1" l="1"/>
</calcChain>
</file>

<file path=xl/comments1.xml><?xml version="1.0" encoding="utf-8"?>
<comments xmlns="http://schemas.openxmlformats.org/spreadsheetml/2006/main">
  <authors>
    <author>Windows User</author>
  </authors>
  <commentList>
    <comment ref="B4" authorId="0" shapeId="0">
      <text>
        <r>
          <rPr>
            <b/>
            <sz val="9"/>
            <color indexed="81"/>
            <rFont val="Tahoma"/>
            <family val="2"/>
          </rPr>
          <t>Windows User:Basic Computer Applications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Intro to Computer Programming changed Algorithms</t>
        </r>
      </text>
    </comment>
    <comment ref="C14" authorId="0" shapeId="0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Recommended by The Meeting due to the increase of the content</t>
        </r>
      </text>
    </comment>
  </commentList>
</comments>
</file>

<file path=xl/sharedStrings.xml><?xml version="1.0" encoding="utf-8"?>
<sst xmlns="http://schemas.openxmlformats.org/spreadsheetml/2006/main" count="168" uniqueCount="94">
  <si>
    <t>Distribution of Courses by Semester</t>
  </si>
  <si>
    <t>NETWORKS AND COMMUNICATION SYSTEMS DEPARTMENT</t>
  </si>
  <si>
    <t>Semester</t>
  </si>
  <si>
    <t>CourseName</t>
  </si>
  <si>
    <t>Credits</t>
  </si>
  <si>
    <t>Intro to Computer Applications</t>
  </si>
  <si>
    <t>Applied Mathematics</t>
  </si>
  <si>
    <t>Study and Research Methods</t>
  </si>
  <si>
    <t xml:space="preserve">Principles of Accounting I </t>
  </si>
  <si>
    <t>Introduction to Bible Study</t>
  </si>
  <si>
    <t>TOTAL</t>
  </si>
  <si>
    <t>Digital Computer Fundemantals</t>
  </si>
  <si>
    <t>Intro to Computer Programming</t>
  </si>
  <si>
    <t>Descriptive statistics</t>
  </si>
  <si>
    <t>Multivariables Calculus and Ordinary Differential Equations</t>
  </si>
  <si>
    <t>Computer Maintenance</t>
  </si>
  <si>
    <t>Health Principles</t>
  </si>
  <si>
    <t>Programming with C</t>
  </si>
  <si>
    <t>Software Engineering</t>
  </si>
  <si>
    <t>Computer Networks</t>
  </si>
  <si>
    <t>Statistics and Probability</t>
  </si>
  <si>
    <t>Philosophy, Science and Religion</t>
  </si>
  <si>
    <t>Database Management System</t>
  </si>
  <si>
    <t>Web Design</t>
  </si>
  <si>
    <t>Operating Systems</t>
  </si>
  <si>
    <t>Electronic Devices and Circuits</t>
  </si>
  <si>
    <t>Routing and Switching</t>
  </si>
  <si>
    <t>Object Oriented Programming</t>
  </si>
  <si>
    <t>Unix/ Linux programming</t>
  </si>
  <si>
    <t>Bible Doctrines</t>
  </si>
  <si>
    <t>MIS</t>
  </si>
  <si>
    <t>Java Programming</t>
  </si>
  <si>
    <t>Advanced Computer Networks</t>
  </si>
  <si>
    <t>Network Security</t>
  </si>
  <si>
    <t>Network Administration</t>
  </si>
  <si>
    <t>Data Structure and Algorithms</t>
  </si>
  <si>
    <t>Mobile Communication</t>
  </si>
  <si>
    <t>Network Programming (TCP/IP)</t>
  </si>
  <si>
    <t>Web Technology</t>
  </si>
  <si>
    <t>System Administration</t>
  </si>
  <si>
    <t>Wireless Networks</t>
  </si>
  <si>
    <t>Multimedia Computing</t>
  </si>
  <si>
    <t>System Analysis and Design</t>
  </si>
  <si>
    <t>Emmerging Technologies</t>
  </si>
  <si>
    <t>Final Project</t>
  </si>
  <si>
    <t>Internship</t>
  </si>
  <si>
    <t>GRAND TOTAL</t>
  </si>
  <si>
    <t>General English</t>
  </si>
  <si>
    <t>SOFTWARE ENGINEERING DEPARTMENT</t>
  </si>
  <si>
    <t>Course Name</t>
  </si>
  <si>
    <t>Introduction to Computer Applications</t>
  </si>
  <si>
    <t>Principles of Accounting I</t>
  </si>
  <si>
    <t>Introduction to Computer Programming</t>
  </si>
  <si>
    <t>Multivariable Calculus and ODE</t>
  </si>
  <si>
    <t>Digital Computer Fundamentals</t>
  </si>
  <si>
    <t>Academic English Wrinting</t>
  </si>
  <si>
    <t>Programming with C</t>
  </si>
  <si>
    <t xml:space="preserve">Statistics and Probability </t>
  </si>
  <si>
    <t>Object-Oriented Programming </t>
  </si>
  <si>
    <t>Database Management Systems (DBMS)</t>
  </si>
  <si>
    <t>Operating Systems</t>
  </si>
  <si>
    <t xml:space="preserve">Theory of Computation </t>
  </si>
  <si>
    <t>Requirements Engineering</t>
  </si>
  <si>
    <t>Management Information System(MIS)</t>
  </si>
  <si>
    <t>Data Base development with PL/SQL</t>
  </si>
  <si>
    <t xml:space="preserve">Software Project Management </t>
  </si>
  <si>
    <t xml:space="preserve">Software Testing Techniques </t>
  </si>
  <si>
    <t>Software Modeling &amp; Design</t>
  </si>
  <si>
    <t>Data Structures and Algorithm</t>
  </si>
  <si>
    <t>Web Technology and Internet</t>
  </si>
  <si>
    <t>Linux programming</t>
  </si>
  <si>
    <t>Software Quality Assurance</t>
  </si>
  <si>
    <t>Dot Net</t>
  </si>
  <si>
    <t>Introduction to Big Data</t>
  </si>
  <si>
    <t xml:space="preserve">Software Security  </t>
  </si>
  <si>
    <t xml:space="preserve">Mobile programming </t>
  </si>
  <si>
    <t>Best Programming Practice &amp; Design Patterns</t>
  </si>
  <si>
    <t xml:space="preserve">Internship </t>
  </si>
  <si>
    <t>INFORMATION MANAGEMENT DEPARTMENT</t>
  </si>
  <si>
    <t>Descriptive Statistics</t>
  </si>
  <si>
    <t>Principles of Management</t>
  </si>
  <si>
    <t>Database Management System (DBMS)</t>
  </si>
  <si>
    <t>Principles of Accounting II</t>
  </si>
  <si>
    <t>Intermediate Accounting I</t>
  </si>
  <si>
    <t>Management Information System (MIS)</t>
  </si>
  <si>
    <t>Data Structures and Algorithm</t>
  </si>
  <si>
    <t>Intermediate Accounting II</t>
  </si>
  <si>
    <t>Advanced Accounting I</t>
  </si>
  <si>
    <t>Mobile Programming</t>
  </si>
  <si>
    <t>Information Security</t>
  </si>
  <si>
    <t>Emerging Technologies</t>
  </si>
  <si>
    <t>System Analysis &amp; Design</t>
  </si>
  <si>
    <t>Cost Accounting</t>
  </si>
  <si>
    <t>E-Commerce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</si>
</sst>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FF"/>
      <name val="Times New Roman"/>
      <family val="1"/>
    </font>
    <font>
      <sz val="12"/>
      <color rgb="FFFF0000"/>
      <name val="Times New Roman"/>
      <family val="1"/>
    </font>
    <font>
      <sz val="11"/>
      <color rgb="FF000000"/>
      <name val="Times New Roman"/>
      <family val="1"/>
    </font>
    <font>
      <sz val="12"/>
      <color rgb="FF9C0006"/>
      <name val="Times New Roman"/>
      <family val="1"/>
    </font>
    <font>
      <sz val="11"/>
      <color rgb="FF000000"/>
      <name val="Calibri"/>
      <family val="2"/>
    </font>
    <font>
      <b/>
      <i/>
      <sz val="12"/>
      <color rgb="FF000000"/>
      <name val="Times New Roman"/>
      <family val="1"/>
    </font>
    <font>
      <b/>
      <u val="double"/>
      <sz val="12"/>
      <color rgb="FF000000"/>
      <name val="Times New Roman"/>
      <family val="1"/>
    </font>
    <font>
      <sz val="12"/>
      <color rgb="FF006100"/>
      <name val="Times New Roman"/>
      <family val="1"/>
    </font>
    <font>
      <sz val="11"/>
      <color rgb="FFFF0000"/>
      <name val="Times New Roman"/>
      <family val="1"/>
    </font>
    <font>
      <u val="double"/>
      <sz val="12"/>
      <color rgb="FF00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8DB3E2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CCC0D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3" xfId="0" applyFont="1" applyFill="1" applyBorder="1"/>
    <xf numFmtId="0" fontId="2" fillId="3" borderId="3" xfId="0" applyFont="1" applyFill="1" applyBorder="1"/>
    <xf numFmtId="0" fontId="5" fillId="0" borderId="0" xfId="0" applyFont="1" applyFill="1"/>
    <xf numFmtId="0" fontId="5" fillId="0" borderId="0" xfId="0" applyFont="1" applyFill="1" applyAlignment="1">
      <alignment horizontal="center"/>
    </xf>
    <xf numFmtId="0" fontId="2" fillId="0" borderId="0" xfId="0" applyFont="1"/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2" borderId="3" xfId="0" applyFont="1" applyFill="1" applyBorder="1" applyAlignment="1">
      <alignment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vertical="center"/>
    </xf>
    <xf numFmtId="0" fontId="8" fillId="2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12" fillId="4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10" fillId="7" borderId="3" xfId="0" applyFont="1" applyFill="1" applyBorder="1" applyAlignment="1">
      <alignment vertical="center"/>
    </xf>
    <xf numFmtId="0" fontId="13" fillId="4" borderId="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right" vertical="center"/>
    </xf>
    <xf numFmtId="0" fontId="0" fillId="0" borderId="3" xfId="0" applyBorder="1" applyAlignment="1">
      <alignment vertical="center"/>
    </xf>
    <xf numFmtId="0" fontId="0" fillId="0" borderId="3" xfId="0" applyBorder="1"/>
    <xf numFmtId="0" fontId="14" fillId="0" borderId="3" xfId="0" applyFont="1" applyBorder="1" applyAlignment="1">
      <alignment horizontal="right" vertical="center"/>
    </xf>
    <xf numFmtId="0" fontId="15" fillId="2" borderId="3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7" fillId="5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vertical="center"/>
    </xf>
    <xf numFmtId="0" fontId="17" fillId="0" borderId="0" xfId="0" applyFont="1"/>
    <xf numFmtId="0" fontId="2" fillId="3" borderId="0" xfId="0" applyFont="1" applyFill="1"/>
    <xf numFmtId="0" fontId="10" fillId="11" borderId="3" xfId="0" applyFont="1" applyFill="1" applyBorder="1" applyAlignment="1">
      <alignment vertical="center"/>
    </xf>
    <xf numFmtId="0" fontId="18" fillId="9" borderId="3" xfId="0" applyFont="1" applyFill="1" applyBorder="1" applyAlignment="1">
      <alignment horizontal="right" vertical="center"/>
    </xf>
    <xf numFmtId="0" fontId="2" fillId="3" borderId="0" xfId="0" applyFont="1" applyFill="1" applyAlignment="1">
      <alignment horizontal="center"/>
    </xf>
    <xf numFmtId="0" fontId="2" fillId="3" borderId="2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56"/>
  <sheetViews>
    <sheetView topLeftCell="A37" workbookViewId="0">
      <selection activeCell="I14" sqref="I14"/>
    </sheetView>
  </sheetViews>
  <sheetFormatPr defaultRowHeight="15" x14ac:dyDescent="0.25"/>
  <cols>
    <col min="1" max="1" width="9.140625" style="3"/>
    <col min="2" max="2" width="47.5703125" style="3" bestFit="1" customWidth="1"/>
    <col min="3" max="3" width="7.28515625" style="3" bestFit="1" customWidth="1"/>
    <col min="4" max="16384" width="9.140625" style="3"/>
  </cols>
  <sheetData>
    <row r="1" spans="1:3" x14ac:dyDescent="0.25">
      <c r="A1" s="46" t="s">
        <v>0</v>
      </c>
      <c r="B1" s="46"/>
      <c r="C1" s="46"/>
    </row>
    <row r="2" spans="1:3" x14ac:dyDescent="0.25">
      <c r="A2" s="47" t="s">
        <v>1</v>
      </c>
      <c r="B2" s="47"/>
      <c r="C2" s="46"/>
    </row>
    <row r="3" spans="1:3" x14ac:dyDescent="0.25">
      <c r="A3" s="2" t="s">
        <v>2</v>
      </c>
      <c r="B3" s="2" t="s">
        <v>3</v>
      </c>
      <c r="C3" s="2" t="s">
        <v>4</v>
      </c>
    </row>
    <row r="4" spans="1:3" x14ac:dyDescent="0.25">
      <c r="A4" s="2">
        <v>1</v>
      </c>
      <c r="B4" s="2" t="s">
        <v>5</v>
      </c>
      <c r="C4" s="2">
        <v>3</v>
      </c>
    </row>
    <row r="5" spans="1:3" x14ac:dyDescent="0.25">
      <c r="A5" s="2">
        <v>1</v>
      </c>
      <c r="B5" s="2" t="s">
        <v>6</v>
      </c>
      <c r="C5" s="2">
        <v>3</v>
      </c>
    </row>
    <row r="6" spans="1:3" x14ac:dyDescent="0.25">
      <c r="A6" s="2">
        <v>1</v>
      </c>
      <c r="B6" s="2" t="s">
        <v>7</v>
      </c>
      <c r="C6" s="2">
        <v>2</v>
      </c>
    </row>
    <row r="7" spans="1:3" x14ac:dyDescent="0.25">
      <c r="A7" s="2">
        <v>1</v>
      </c>
      <c r="B7" s="1" t="s">
        <v>47</v>
      </c>
      <c r="C7" s="2">
        <v>3</v>
      </c>
    </row>
    <row r="8" spans="1:3" x14ac:dyDescent="0.25">
      <c r="A8" s="2">
        <v>1</v>
      </c>
      <c r="B8" s="2" t="s">
        <v>8</v>
      </c>
      <c r="C8" s="2">
        <v>3</v>
      </c>
    </row>
    <row r="9" spans="1:3" x14ac:dyDescent="0.25">
      <c r="A9" s="2">
        <v>1</v>
      </c>
      <c r="B9" s="2" t="s">
        <v>9</v>
      </c>
      <c r="C9" s="2">
        <v>2</v>
      </c>
    </row>
    <row r="10" spans="1:3" x14ac:dyDescent="0.25">
      <c r="A10" s="42" t="s">
        <v>10</v>
      </c>
      <c r="B10" s="43"/>
      <c r="C10" s="2">
        <f>SUM(C4:C9)</f>
        <v>16</v>
      </c>
    </row>
    <row r="11" spans="1:3" x14ac:dyDescent="0.25">
      <c r="A11" s="2">
        <v>2</v>
      </c>
      <c r="B11" s="2" t="s">
        <v>11</v>
      </c>
      <c r="C11" s="2">
        <v>3</v>
      </c>
    </row>
    <row r="12" spans="1:3" x14ac:dyDescent="0.25">
      <c r="A12" s="2">
        <v>2</v>
      </c>
      <c r="B12" s="2" t="s">
        <v>12</v>
      </c>
      <c r="C12" s="2">
        <v>4</v>
      </c>
    </row>
    <row r="13" spans="1:3" x14ac:dyDescent="0.25">
      <c r="A13" s="2">
        <v>2</v>
      </c>
      <c r="B13" s="2" t="s">
        <v>13</v>
      </c>
      <c r="C13" s="2">
        <v>3</v>
      </c>
    </row>
    <row r="14" spans="1:3" x14ac:dyDescent="0.25">
      <c r="A14" s="2">
        <v>2</v>
      </c>
      <c r="B14" s="2" t="s">
        <v>14</v>
      </c>
      <c r="C14" s="2">
        <v>4</v>
      </c>
    </row>
    <row r="15" spans="1:3" x14ac:dyDescent="0.25">
      <c r="A15" s="2">
        <v>2</v>
      </c>
      <c r="B15" s="2" t="s">
        <v>15</v>
      </c>
      <c r="C15" s="2">
        <v>3</v>
      </c>
    </row>
    <row r="16" spans="1:3" x14ac:dyDescent="0.25">
      <c r="A16" s="2">
        <v>2</v>
      </c>
      <c r="B16" s="2" t="s">
        <v>16</v>
      </c>
      <c r="C16" s="2">
        <v>2</v>
      </c>
    </row>
    <row r="17" spans="1:3" x14ac:dyDescent="0.25">
      <c r="A17" s="42" t="s">
        <v>10</v>
      </c>
      <c r="B17" s="43"/>
      <c r="C17" s="2">
        <f>SUM(C11:C16)</f>
        <v>19</v>
      </c>
    </row>
    <row r="18" spans="1:3" ht="15.75" x14ac:dyDescent="0.25">
      <c r="A18" s="2">
        <v>3</v>
      </c>
      <c r="B18" s="14" t="s">
        <v>55</v>
      </c>
      <c r="C18" s="2">
        <v>3</v>
      </c>
    </row>
    <row r="19" spans="1:3" x14ac:dyDescent="0.25">
      <c r="A19" s="2">
        <v>3</v>
      </c>
      <c r="B19" s="2" t="s">
        <v>17</v>
      </c>
      <c r="C19" s="2">
        <v>4</v>
      </c>
    </row>
    <row r="20" spans="1:3" x14ac:dyDescent="0.25">
      <c r="A20" s="2">
        <v>3</v>
      </c>
      <c r="B20" s="2" t="s">
        <v>18</v>
      </c>
      <c r="C20" s="2">
        <v>3</v>
      </c>
    </row>
    <row r="21" spans="1:3" x14ac:dyDescent="0.25">
      <c r="A21" s="2">
        <v>3</v>
      </c>
      <c r="B21" s="2" t="s">
        <v>19</v>
      </c>
      <c r="C21" s="2">
        <v>4</v>
      </c>
    </row>
    <row r="22" spans="1:3" x14ac:dyDescent="0.25">
      <c r="A22" s="2">
        <v>3</v>
      </c>
      <c r="B22" s="2" t="s">
        <v>20</v>
      </c>
      <c r="C22" s="2">
        <v>3</v>
      </c>
    </row>
    <row r="23" spans="1:3" x14ac:dyDescent="0.25">
      <c r="A23" s="2">
        <v>3</v>
      </c>
      <c r="B23" s="2" t="s">
        <v>21</v>
      </c>
      <c r="C23" s="2">
        <v>2</v>
      </c>
    </row>
    <row r="24" spans="1:3" x14ac:dyDescent="0.25">
      <c r="A24" s="42" t="s">
        <v>10</v>
      </c>
      <c r="B24" s="43"/>
      <c r="C24" s="2">
        <f>SUM(C18:C23)</f>
        <v>19</v>
      </c>
    </row>
    <row r="25" spans="1:3" x14ac:dyDescent="0.25">
      <c r="A25" s="2">
        <v>4</v>
      </c>
      <c r="B25" s="2" t="s">
        <v>22</v>
      </c>
      <c r="C25" s="2">
        <v>3</v>
      </c>
    </row>
    <row r="26" spans="1:3" x14ac:dyDescent="0.25">
      <c r="A26" s="2">
        <v>4</v>
      </c>
      <c r="B26" s="2" t="s">
        <v>23</v>
      </c>
      <c r="C26" s="2">
        <v>2</v>
      </c>
    </row>
    <row r="27" spans="1:3" x14ac:dyDescent="0.25">
      <c r="A27" s="2">
        <v>4</v>
      </c>
      <c r="B27" s="2" t="s">
        <v>24</v>
      </c>
      <c r="C27" s="2">
        <v>4</v>
      </c>
    </row>
    <row r="28" spans="1:3" x14ac:dyDescent="0.25">
      <c r="A28" s="2">
        <v>4</v>
      </c>
      <c r="B28" s="2" t="s">
        <v>25</v>
      </c>
      <c r="C28" s="2">
        <v>3</v>
      </c>
    </row>
    <row r="29" spans="1:3" x14ac:dyDescent="0.25">
      <c r="A29" s="2">
        <v>4</v>
      </c>
      <c r="B29" s="2" t="s">
        <v>26</v>
      </c>
      <c r="C29" s="2">
        <v>3</v>
      </c>
    </row>
    <row r="30" spans="1:3" x14ac:dyDescent="0.25">
      <c r="A30" s="2">
        <v>4</v>
      </c>
      <c r="B30" s="2" t="s">
        <v>27</v>
      </c>
      <c r="C30" s="2">
        <v>4</v>
      </c>
    </row>
    <row r="31" spans="1:3" x14ac:dyDescent="0.25">
      <c r="A31" s="42" t="s">
        <v>10</v>
      </c>
      <c r="B31" s="43"/>
      <c r="C31" s="2">
        <f>SUM(C25:C30)</f>
        <v>19</v>
      </c>
    </row>
    <row r="32" spans="1:3" x14ac:dyDescent="0.25">
      <c r="A32" s="2">
        <v>5</v>
      </c>
      <c r="B32" s="2" t="s">
        <v>28</v>
      </c>
      <c r="C32" s="2">
        <v>3</v>
      </c>
    </row>
    <row r="33" spans="1:3" x14ac:dyDescent="0.25">
      <c r="A33" s="2">
        <v>5</v>
      </c>
      <c r="B33" s="2" t="s">
        <v>29</v>
      </c>
      <c r="C33" s="2">
        <v>3</v>
      </c>
    </row>
    <row r="34" spans="1:3" x14ac:dyDescent="0.25">
      <c r="A34" s="2">
        <v>5</v>
      </c>
      <c r="B34" s="2" t="s">
        <v>30</v>
      </c>
      <c r="C34" s="2">
        <v>3</v>
      </c>
    </row>
    <row r="35" spans="1:3" x14ac:dyDescent="0.25">
      <c r="A35" s="2">
        <v>5</v>
      </c>
      <c r="B35" s="2" t="s">
        <v>31</v>
      </c>
      <c r="C35" s="2">
        <v>4</v>
      </c>
    </row>
    <row r="36" spans="1:3" x14ac:dyDescent="0.25">
      <c r="A36" s="2">
        <v>5</v>
      </c>
      <c r="B36" s="2" t="s">
        <v>32</v>
      </c>
      <c r="C36" s="2">
        <v>4</v>
      </c>
    </row>
    <row r="37" spans="1:3" x14ac:dyDescent="0.25">
      <c r="A37" s="42" t="s">
        <v>10</v>
      </c>
      <c r="B37" s="43"/>
      <c r="C37" s="2">
        <f>SUM(C32:C36)</f>
        <v>17</v>
      </c>
    </row>
    <row r="38" spans="1:3" x14ac:dyDescent="0.25">
      <c r="A38" s="2">
        <v>6</v>
      </c>
      <c r="B38" s="2" t="s">
        <v>33</v>
      </c>
      <c r="C38" s="2">
        <v>3</v>
      </c>
    </row>
    <row r="39" spans="1:3" x14ac:dyDescent="0.25">
      <c r="A39" s="2">
        <v>6</v>
      </c>
      <c r="B39" s="2" t="s">
        <v>34</v>
      </c>
      <c r="C39" s="2">
        <v>3</v>
      </c>
    </row>
    <row r="40" spans="1:3" x14ac:dyDescent="0.25">
      <c r="A40" s="2">
        <v>6</v>
      </c>
      <c r="B40" s="2" t="s">
        <v>35</v>
      </c>
      <c r="C40" s="2">
        <v>4</v>
      </c>
    </row>
    <row r="41" spans="1:3" x14ac:dyDescent="0.25">
      <c r="A41" s="2">
        <v>6</v>
      </c>
      <c r="B41" s="2" t="s">
        <v>36</v>
      </c>
      <c r="C41" s="2">
        <v>4</v>
      </c>
    </row>
    <row r="42" spans="1:3" x14ac:dyDescent="0.25">
      <c r="A42" s="2">
        <v>6</v>
      </c>
      <c r="B42" s="2" t="s">
        <v>37</v>
      </c>
      <c r="C42" s="2">
        <v>3</v>
      </c>
    </row>
    <row r="43" spans="1:3" x14ac:dyDescent="0.25">
      <c r="A43" s="42" t="s">
        <v>10</v>
      </c>
      <c r="B43" s="43"/>
      <c r="C43" s="2">
        <f>SUM(C38:C42)</f>
        <v>17</v>
      </c>
    </row>
    <row r="44" spans="1:3" x14ac:dyDescent="0.25">
      <c r="A44" s="2">
        <v>7</v>
      </c>
      <c r="B44" s="2" t="s">
        <v>38</v>
      </c>
      <c r="C44" s="2">
        <v>4</v>
      </c>
    </row>
    <row r="45" spans="1:3" x14ac:dyDescent="0.25">
      <c r="A45" s="2">
        <v>7</v>
      </c>
      <c r="B45" s="2" t="s">
        <v>39</v>
      </c>
      <c r="C45" s="2">
        <v>3</v>
      </c>
    </row>
    <row r="46" spans="1:3" x14ac:dyDescent="0.25">
      <c r="A46" s="2">
        <v>7</v>
      </c>
      <c r="B46" s="2" t="s">
        <v>40</v>
      </c>
      <c r="C46" s="2">
        <v>3</v>
      </c>
    </row>
    <row r="47" spans="1:3" x14ac:dyDescent="0.25">
      <c r="A47" s="2">
        <v>7</v>
      </c>
      <c r="B47" s="2" t="s">
        <v>41</v>
      </c>
      <c r="C47" s="2">
        <v>3</v>
      </c>
    </row>
    <row r="48" spans="1:3" x14ac:dyDescent="0.25">
      <c r="A48" s="2">
        <v>7</v>
      </c>
      <c r="B48" s="2" t="s">
        <v>42</v>
      </c>
      <c r="C48" s="2">
        <v>4</v>
      </c>
    </row>
    <row r="49" spans="1:3" x14ac:dyDescent="0.25">
      <c r="A49" s="42" t="s">
        <v>10</v>
      </c>
      <c r="B49" s="43"/>
      <c r="C49" s="2">
        <f>SUM(C44:C48)</f>
        <v>17</v>
      </c>
    </row>
    <row r="50" spans="1:3" x14ac:dyDescent="0.25">
      <c r="A50" s="2">
        <v>8</v>
      </c>
      <c r="B50" s="2" t="s">
        <v>43</v>
      </c>
      <c r="C50" s="2">
        <v>3</v>
      </c>
    </row>
    <row r="51" spans="1:3" x14ac:dyDescent="0.25">
      <c r="A51" s="2">
        <v>8</v>
      </c>
      <c r="B51" s="2" t="s">
        <v>44</v>
      </c>
      <c r="C51" s="2">
        <v>6</v>
      </c>
    </row>
    <row r="52" spans="1:3" x14ac:dyDescent="0.25">
      <c r="A52" s="2">
        <v>8</v>
      </c>
      <c r="B52" s="2" t="s">
        <v>45</v>
      </c>
      <c r="C52" s="2">
        <v>4</v>
      </c>
    </row>
    <row r="53" spans="1:3" x14ac:dyDescent="0.25">
      <c r="A53" s="42" t="s">
        <v>10</v>
      </c>
      <c r="B53" s="43"/>
      <c r="C53" s="2">
        <f>SUM(C50:C52)</f>
        <v>13</v>
      </c>
    </row>
    <row r="54" spans="1:3" x14ac:dyDescent="0.25">
      <c r="A54" s="2"/>
      <c r="B54" s="2"/>
      <c r="C54" s="2"/>
    </row>
    <row r="55" spans="1:3" x14ac:dyDescent="0.25">
      <c r="A55" s="44" t="s">
        <v>46</v>
      </c>
      <c r="B55" s="45"/>
      <c r="C55" s="1">
        <f>+C53+C49+C43+C37+C31+C24+C17+C10</f>
        <v>137</v>
      </c>
    </row>
    <row r="56" spans="1:3" x14ac:dyDescent="0.25">
      <c r="C56" s="4"/>
    </row>
  </sheetData>
  <mergeCells count="11">
    <mergeCell ref="A53:B53"/>
    <mergeCell ref="A55:B55"/>
    <mergeCell ref="A43:B43"/>
    <mergeCell ref="A49:B49"/>
    <mergeCell ref="A1:C1"/>
    <mergeCell ref="A2:C2"/>
    <mergeCell ref="A17:B17"/>
    <mergeCell ref="A37:B37"/>
    <mergeCell ref="A10:B10"/>
    <mergeCell ref="A24:B24"/>
    <mergeCell ref="A31:B31"/>
  </mergeCells>
  <conditionalFormatting sqref="C5:C7 C18 C9 C15 C11:C13">
    <cfRule type="cellIs" dxfId="13" priority="22" operator="greaterThan">
      <formula>17</formula>
    </cfRule>
  </conditionalFormatting>
  <conditionalFormatting sqref="C5:C7 C18 C9 C15 C11:C13">
    <cfRule type="cellIs" dxfId="12" priority="21" operator="greaterThan">
      <formula>16</formula>
    </cfRule>
  </conditionalFormatting>
  <conditionalFormatting sqref="C14 C16">
    <cfRule type="cellIs" dxfId="11" priority="20" operator="greaterThan">
      <formula>17</formula>
    </cfRule>
  </conditionalFormatting>
  <conditionalFormatting sqref="C14 C16">
    <cfRule type="cellIs" dxfId="10" priority="19" operator="greaterThan">
      <formula>16</formula>
    </cfRule>
  </conditionalFormatting>
  <conditionalFormatting sqref="C8">
    <cfRule type="cellIs" dxfId="9" priority="18" operator="greaterThan">
      <formula>17</formula>
    </cfRule>
  </conditionalFormatting>
  <conditionalFormatting sqref="C8">
    <cfRule type="cellIs" dxfId="8" priority="17" operator="greaterThan">
      <formula>16</formula>
    </cfRule>
  </conditionalFormatting>
  <conditionalFormatting sqref="C34">
    <cfRule type="cellIs" dxfId="7" priority="16" operator="greaterThan">
      <formula>17</formula>
    </cfRule>
  </conditionalFormatting>
  <conditionalFormatting sqref="C34">
    <cfRule type="cellIs" dxfId="6" priority="15" operator="greaterThan">
      <formula>16</formula>
    </cfRule>
  </conditionalFormatting>
  <conditionalFormatting sqref="C10 A10">
    <cfRule type="duplicateValues" dxfId="5" priority="30"/>
  </conditionalFormatting>
  <conditionalFormatting sqref="B1:B9 A11:C16 C10 A10 A19:C23 A25:C30 C24 A24 A32:C36 C31 A31 A38:C42 A37 C37 A44:C48 A43 C43 B56 A50:C52 A49 C49 C53 A53 A54:C54 C55 A55 A3:C9 A17:A18 C17:C18">
    <cfRule type="duplicateValues" dxfId="4" priority="34"/>
  </conditionalFormatting>
  <conditionalFormatting sqref="C17">
    <cfRule type="duplicateValues" dxfId="3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topLeftCell="A43" workbookViewId="0">
      <selection activeCell="H16" sqref="H16"/>
    </sheetView>
  </sheetViews>
  <sheetFormatPr defaultColWidth="9.140625" defaultRowHeight="15" x14ac:dyDescent="0.25"/>
  <cols>
    <col min="1" max="1" width="10.28515625" style="32" customWidth="1"/>
    <col min="2" max="2" width="50" style="5" bestFit="1" customWidth="1"/>
    <col min="3" max="3" width="8" style="5" bestFit="1" customWidth="1"/>
    <col min="4" max="16384" width="9.140625" style="5"/>
  </cols>
  <sheetData>
    <row r="1" spans="1:3" x14ac:dyDescent="0.25">
      <c r="A1" s="48" t="s">
        <v>0</v>
      </c>
      <c r="B1" s="49"/>
      <c r="C1" s="49"/>
    </row>
    <row r="2" spans="1:3" x14ac:dyDescent="0.25">
      <c r="A2" s="48" t="s">
        <v>48</v>
      </c>
      <c r="B2" s="49"/>
      <c r="C2" s="49"/>
    </row>
    <row r="3" spans="1:3" ht="15.75" x14ac:dyDescent="0.25">
      <c r="A3" s="6" t="s">
        <v>2</v>
      </c>
      <c r="B3" s="6" t="s">
        <v>49</v>
      </c>
      <c r="C3" s="7" t="s">
        <v>4</v>
      </c>
    </row>
    <row r="4" spans="1:3" ht="15.75" x14ac:dyDescent="0.25">
      <c r="A4" s="8">
        <v>1</v>
      </c>
      <c r="B4" s="9" t="s">
        <v>6</v>
      </c>
      <c r="C4" s="8">
        <v>3</v>
      </c>
    </row>
    <row r="5" spans="1:3" ht="15.75" x14ac:dyDescent="0.25">
      <c r="A5" s="8">
        <v>1</v>
      </c>
      <c r="B5" s="10" t="s">
        <v>50</v>
      </c>
      <c r="C5" s="11">
        <v>3</v>
      </c>
    </row>
    <row r="6" spans="1:3" ht="15.75" x14ac:dyDescent="0.25">
      <c r="A6" s="8">
        <v>1</v>
      </c>
      <c r="B6" s="12" t="s">
        <v>7</v>
      </c>
      <c r="C6" s="11">
        <v>2</v>
      </c>
    </row>
    <row r="7" spans="1:3" ht="15.75" x14ac:dyDescent="0.25">
      <c r="A7" s="13">
        <v>1</v>
      </c>
      <c r="B7" s="1" t="s">
        <v>47</v>
      </c>
      <c r="C7" s="13">
        <v>3</v>
      </c>
    </row>
    <row r="8" spans="1:3" ht="15.75" x14ac:dyDescent="0.25">
      <c r="A8" s="8">
        <v>1</v>
      </c>
      <c r="B8" s="9" t="s">
        <v>9</v>
      </c>
      <c r="C8" s="8">
        <v>2</v>
      </c>
    </row>
    <row r="9" spans="1:3" ht="15.75" x14ac:dyDescent="0.25">
      <c r="A9" s="15">
        <v>1</v>
      </c>
      <c r="B9" s="9" t="s">
        <v>51</v>
      </c>
      <c r="C9" s="15">
        <v>3</v>
      </c>
    </row>
    <row r="10" spans="1:3" ht="15.75" x14ac:dyDescent="0.25">
      <c r="A10" s="52" t="s">
        <v>10</v>
      </c>
      <c r="B10" s="53"/>
      <c r="C10" s="16">
        <f>SUM(C4:C9)</f>
        <v>16</v>
      </c>
    </row>
    <row r="11" spans="1:3" ht="15.75" x14ac:dyDescent="0.25">
      <c r="A11" s="8">
        <v>2</v>
      </c>
      <c r="B11" s="12" t="s">
        <v>13</v>
      </c>
      <c r="C11" s="8">
        <v>3</v>
      </c>
    </row>
    <row r="12" spans="1:3" ht="15.75" x14ac:dyDescent="0.25">
      <c r="A12" s="8">
        <v>2</v>
      </c>
      <c r="B12" s="17" t="s">
        <v>52</v>
      </c>
      <c r="C12" s="18">
        <v>4</v>
      </c>
    </row>
    <row r="13" spans="1:3" ht="15.75" x14ac:dyDescent="0.25">
      <c r="A13" s="8">
        <v>2</v>
      </c>
      <c r="B13" s="9" t="s">
        <v>16</v>
      </c>
      <c r="C13" s="8">
        <v>2</v>
      </c>
    </row>
    <row r="14" spans="1:3" ht="15.75" x14ac:dyDescent="0.25">
      <c r="A14" s="8">
        <v>2</v>
      </c>
      <c r="B14" s="19" t="s">
        <v>53</v>
      </c>
      <c r="C14" s="8">
        <v>4</v>
      </c>
    </row>
    <row r="15" spans="1:3" ht="15.75" x14ac:dyDescent="0.25">
      <c r="A15" s="8">
        <v>2</v>
      </c>
      <c r="B15" s="9" t="s">
        <v>54</v>
      </c>
      <c r="C15" s="8">
        <v>3</v>
      </c>
    </row>
    <row r="16" spans="1:3" ht="15.75" x14ac:dyDescent="0.25">
      <c r="A16" s="8">
        <v>2</v>
      </c>
      <c r="B16" s="9" t="s">
        <v>15</v>
      </c>
      <c r="C16" s="8">
        <v>3</v>
      </c>
    </row>
    <row r="17" spans="1:3" ht="15.75" x14ac:dyDescent="0.25">
      <c r="A17" s="52" t="s">
        <v>10</v>
      </c>
      <c r="B17" s="53"/>
      <c r="C17" s="20">
        <f>SUM(C11:C16)</f>
        <v>19</v>
      </c>
    </row>
    <row r="18" spans="1:3" ht="15.75" x14ac:dyDescent="0.25">
      <c r="A18" s="13">
        <v>3</v>
      </c>
      <c r="B18" s="14" t="s">
        <v>55</v>
      </c>
      <c r="C18" s="13">
        <v>3</v>
      </c>
    </row>
    <row r="19" spans="1:3" ht="15.75" x14ac:dyDescent="0.25">
      <c r="A19" s="8">
        <v>3</v>
      </c>
      <c r="B19" s="10" t="s">
        <v>56</v>
      </c>
      <c r="C19" s="18">
        <v>4</v>
      </c>
    </row>
    <row r="20" spans="1:3" ht="15.75" x14ac:dyDescent="0.25">
      <c r="A20" s="15">
        <v>3</v>
      </c>
      <c r="B20" s="12" t="s">
        <v>18</v>
      </c>
      <c r="C20" s="15">
        <v>3</v>
      </c>
    </row>
    <row r="21" spans="1:3" ht="15.75" x14ac:dyDescent="0.25">
      <c r="A21" s="8">
        <v>3</v>
      </c>
      <c r="B21" s="9" t="s">
        <v>19</v>
      </c>
      <c r="C21" s="8">
        <v>4</v>
      </c>
    </row>
    <row r="22" spans="1:3" ht="15.75" x14ac:dyDescent="0.25">
      <c r="A22" s="8">
        <v>3</v>
      </c>
      <c r="B22" s="12" t="s">
        <v>57</v>
      </c>
      <c r="C22" s="11">
        <v>3</v>
      </c>
    </row>
    <row r="23" spans="1:3" ht="15.75" x14ac:dyDescent="0.25">
      <c r="A23" s="8">
        <v>3</v>
      </c>
      <c r="B23" s="12" t="s">
        <v>21</v>
      </c>
      <c r="C23" s="11">
        <v>2</v>
      </c>
    </row>
    <row r="24" spans="1:3" ht="15.75" x14ac:dyDescent="0.25">
      <c r="A24" s="52" t="s">
        <v>10</v>
      </c>
      <c r="B24" s="53"/>
      <c r="C24" s="20">
        <f>SUM(C18:C23)</f>
        <v>19</v>
      </c>
    </row>
    <row r="25" spans="1:3" ht="15.75" x14ac:dyDescent="0.25">
      <c r="A25" s="11">
        <v>4</v>
      </c>
      <c r="B25" s="12" t="s">
        <v>58</v>
      </c>
      <c r="C25" s="11">
        <v>4</v>
      </c>
    </row>
    <row r="26" spans="1:3" ht="15.75" x14ac:dyDescent="0.25">
      <c r="A26" s="11">
        <v>4</v>
      </c>
      <c r="B26" s="12" t="s">
        <v>59</v>
      </c>
      <c r="C26" s="11">
        <v>3</v>
      </c>
    </row>
    <row r="27" spans="1:3" ht="15.75" x14ac:dyDescent="0.25">
      <c r="A27" s="11">
        <v>4</v>
      </c>
      <c r="B27" s="9" t="s">
        <v>60</v>
      </c>
      <c r="C27" s="8">
        <v>4</v>
      </c>
    </row>
    <row r="28" spans="1:3" ht="15.75" x14ac:dyDescent="0.25">
      <c r="A28" s="11">
        <v>4</v>
      </c>
      <c r="B28" s="12" t="s">
        <v>61</v>
      </c>
      <c r="C28" s="11">
        <v>3</v>
      </c>
    </row>
    <row r="29" spans="1:3" ht="15.75" x14ac:dyDescent="0.25">
      <c r="A29" s="11">
        <v>4</v>
      </c>
      <c r="B29" s="12" t="s">
        <v>62</v>
      </c>
      <c r="C29" s="21">
        <v>3</v>
      </c>
    </row>
    <row r="30" spans="1:3" ht="15.75" x14ac:dyDescent="0.25">
      <c r="A30" s="52" t="s">
        <v>10</v>
      </c>
      <c r="B30" s="53"/>
      <c r="C30" s="20">
        <f>SUM(C25:C29)</f>
        <v>17</v>
      </c>
    </row>
    <row r="31" spans="1:3" ht="15.75" x14ac:dyDescent="0.25">
      <c r="A31" s="8">
        <v>5</v>
      </c>
      <c r="B31" s="9" t="s">
        <v>31</v>
      </c>
      <c r="C31" s="8">
        <v>4</v>
      </c>
    </row>
    <row r="32" spans="1:3" ht="15.75" x14ac:dyDescent="0.25">
      <c r="A32" s="11">
        <v>5</v>
      </c>
      <c r="B32" s="10" t="s">
        <v>63</v>
      </c>
      <c r="C32" s="11">
        <v>3</v>
      </c>
    </row>
    <row r="33" spans="1:3" ht="15.75" x14ac:dyDescent="0.25">
      <c r="A33" s="8">
        <v>5</v>
      </c>
      <c r="B33" s="9" t="s">
        <v>29</v>
      </c>
      <c r="C33" s="8">
        <v>3</v>
      </c>
    </row>
    <row r="34" spans="1:3" ht="15.75" x14ac:dyDescent="0.25">
      <c r="A34" s="8">
        <v>5</v>
      </c>
      <c r="B34" s="9" t="s">
        <v>64</v>
      </c>
      <c r="C34" s="8">
        <v>4</v>
      </c>
    </row>
    <row r="35" spans="1:3" ht="15.75" x14ac:dyDescent="0.25">
      <c r="A35" s="8">
        <v>5</v>
      </c>
      <c r="B35" s="9" t="s">
        <v>65</v>
      </c>
      <c r="C35" s="8">
        <v>3</v>
      </c>
    </row>
    <row r="36" spans="1:3" ht="15.75" x14ac:dyDescent="0.25">
      <c r="A36" s="15">
        <v>5</v>
      </c>
      <c r="B36" s="22" t="s">
        <v>23</v>
      </c>
      <c r="C36" s="15">
        <v>2</v>
      </c>
    </row>
    <row r="37" spans="1:3" ht="15.75" x14ac:dyDescent="0.25">
      <c r="A37" s="50" t="s">
        <v>10</v>
      </c>
      <c r="B37" s="51"/>
      <c r="C37" s="23">
        <f>SUM(C31:C36)</f>
        <v>19</v>
      </c>
    </row>
    <row r="38" spans="1:3" ht="15.75" x14ac:dyDescent="0.25">
      <c r="A38" s="8">
        <v>6</v>
      </c>
      <c r="B38" s="9" t="s">
        <v>66</v>
      </c>
      <c r="C38" s="8">
        <v>3</v>
      </c>
    </row>
    <row r="39" spans="1:3" ht="15.75" x14ac:dyDescent="0.25">
      <c r="A39" s="11">
        <v>6</v>
      </c>
      <c r="B39" s="10" t="s">
        <v>67</v>
      </c>
      <c r="C39" s="11">
        <v>4</v>
      </c>
    </row>
    <row r="40" spans="1:3" ht="15.75" x14ac:dyDescent="0.25">
      <c r="A40" s="8">
        <v>6</v>
      </c>
      <c r="B40" s="10" t="s">
        <v>68</v>
      </c>
      <c r="C40" s="8">
        <v>4</v>
      </c>
    </row>
    <row r="41" spans="1:3" ht="15.75" x14ac:dyDescent="0.25">
      <c r="A41" s="8">
        <v>6</v>
      </c>
      <c r="B41" s="9" t="s">
        <v>69</v>
      </c>
      <c r="C41" s="8">
        <v>4</v>
      </c>
    </row>
    <row r="42" spans="1:3" ht="15.75" x14ac:dyDescent="0.25">
      <c r="A42" s="8">
        <v>6</v>
      </c>
      <c r="B42" s="9" t="s">
        <v>70</v>
      </c>
      <c r="C42" s="8">
        <v>3</v>
      </c>
    </row>
    <row r="43" spans="1:3" ht="15.75" x14ac:dyDescent="0.25">
      <c r="A43" s="52" t="s">
        <v>10</v>
      </c>
      <c r="B43" s="53"/>
      <c r="C43" s="20">
        <f>SUM(C38:C42)</f>
        <v>18</v>
      </c>
    </row>
    <row r="44" spans="1:3" ht="15.75" x14ac:dyDescent="0.25">
      <c r="A44" s="8">
        <v>7</v>
      </c>
      <c r="B44" s="9" t="s">
        <v>71</v>
      </c>
      <c r="C44" s="8">
        <v>3</v>
      </c>
    </row>
    <row r="45" spans="1:3" ht="15.75" x14ac:dyDescent="0.25">
      <c r="A45" s="15">
        <v>7</v>
      </c>
      <c r="B45" s="22" t="s">
        <v>72</v>
      </c>
      <c r="C45" s="24">
        <v>4</v>
      </c>
    </row>
    <row r="46" spans="1:3" ht="15.75" x14ac:dyDescent="0.25">
      <c r="A46" s="8">
        <v>7</v>
      </c>
      <c r="B46" s="9" t="s">
        <v>73</v>
      </c>
      <c r="C46" s="8">
        <v>3</v>
      </c>
    </row>
    <row r="47" spans="1:3" ht="15.75" x14ac:dyDescent="0.25">
      <c r="A47" s="8">
        <v>7</v>
      </c>
      <c r="B47" s="12" t="s">
        <v>74</v>
      </c>
      <c r="C47" s="11">
        <v>3</v>
      </c>
    </row>
    <row r="48" spans="1:3" ht="15.75" x14ac:dyDescent="0.25">
      <c r="A48" s="15">
        <v>7</v>
      </c>
      <c r="B48" s="22" t="s">
        <v>75</v>
      </c>
      <c r="C48" s="15">
        <v>3</v>
      </c>
    </row>
    <row r="49" spans="1:3" ht="15.75" x14ac:dyDescent="0.25">
      <c r="A49" s="50" t="s">
        <v>10</v>
      </c>
      <c r="B49" s="51"/>
      <c r="C49" s="25">
        <f>SUM(C44:C48)</f>
        <v>16</v>
      </c>
    </row>
    <row r="50" spans="1:3" ht="15.75" x14ac:dyDescent="0.25">
      <c r="A50" s="8">
        <v>8</v>
      </c>
      <c r="B50" s="9" t="s">
        <v>76</v>
      </c>
      <c r="C50" s="8">
        <v>3</v>
      </c>
    </row>
    <row r="51" spans="1:3" ht="15.75" x14ac:dyDescent="0.25">
      <c r="A51" s="8">
        <v>8</v>
      </c>
      <c r="B51" s="9" t="s">
        <v>44</v>
      </c>
      <c r="C51" s="8">
        <v>6</v>
      </c>
    </row>
    <row r="52" spans="1:3" ht="15.75" x14ac:dyDescent="0.25">
      <c r="A52" s="8">
        <v>8</v>
      </c>
      <c r="B52" s="9" t="s">
        <v>77</v>
      </c>
      <c r="C52" s="8">
        <v>4</v>
      </c>
    </row>
    <row r="53" spans="1:3" ht="15.75" x14ac:dyDescent="0.25">
      <c r="A53" s="8"/>
      <c r="B53" s="26"/>
      <c r="C53" s="25">
        <f>SUM(C50:C52)</f>
        <v>13</v>
      </c>
    </row>
    <row r="54" spans="1:3" ht="15.75" x14ac:dyDescent="0.25">
      <c r="A54" s="27"/>
      <c r="B54" s="27"/>
      <c r="C54" s="11"/>
    </row>
    <row r="55" spans="1:3" ht="15.75" x14ac:dyDescent="0.25">
      <c r="A55" s="28"/>
      <c r="B55" s="29" t="s">
        <v>46</v>
      </c>
      <c r="C55" s="30">
        <f>C53+C49+C43+C37+C30+C24+C17+C10</f>
        <v>137</v>
      </c>
    </row>
    <row r="56" spans="1:3" ht="15.75" x14ac:dyDescent="0.25">
      <c r="A56" s="31"/>
      <c r="B56" s="31"/>
      <c r="C56" s="31"/>
    </row>
  </sheetData>
  <mergeCells count="9">
    <mergeCell ref="A1:C1"/>
    <mergeCell ref="A2:C2"/>
    <mergeCell ref="A49:B49"/>
    <mergeCell ref="A43:B43"/>
    <mergeCell ref="A37:B37"/>
    <mergeCell ref="A30:B30"/>
    <mergeCell ref="A24:B24"/>
    <mergeCell ref="A17:B17"/>
    <mergeCell ref="A10:B10"/>
  </mergeCells>
  <conditionalFormatting sqref="C57:C1048576">
    <cfRule type="cellIs" dxfId="2" priority="3" operator="greaterThan">
      <formula>17</formula>
    </cfRule>
  </conditionalFormatting>
  <conditionalFormatting sqref="C57:C1048576">
    <cfRule type="cellIs" dxfId="1" priority="2" operator="greaterThan">
      <formula>16</formula>
    </cfRule>
  </conditionalFormatting>
  <conditionalFormatting sqref="B7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tabSelected="1" workbookViewId="0">
      <selection activeCell="G47" sqref="G47"/>
    </sheetView>
  </sheetViews>
  <sheetFormatPr defaultColWidth="9.140625" defaultRowHeight="15" x14ac:dyDescent="0.25"/>
  <cols>
    <col min="1" max="1" width="9.140625" style="41"/>
    <col min="2" max="2" width="39.28515625" style="5" customWidth="1"/>
    <col min="3" max="3" width="9.42578125" style="5" customWidth="1"/>
    <col min="4" max="16384" width="9.140625" style="5"/>
  </cols>
  <sheetData>
    <row r="1" spans="1:3" ht="15.75" x14ac:dyDescent="0.25">
      <c r="A1" s="54" t="s">
        <v>0</v>
      </c>
      <c r="B1" s="55"/>
      <c r="C1" s="55"/>
    </row>
    <row r="2" spans="1:3" ht="15.75" x14ac:dyDescent="0.25">
      <c r="A2" s="54" t="s">
        <v>78</v>
      </c>
      <c r="B2" s="55"/>
      <c r="C2" s="55"/>
    </row>
    <row r="3" spans="1:3" ht="15.75" x14ac:dyDescent="0.25">
      <c r="A3" s="33" t="s">
        <v>2</v>
      </c>
      <c r="B3" s="7" t="s">
        <v>3</v>
      </c>
      <c r="C3" s="6" t="s">
        <v>4</v>
      </c>
    </row>
    <row r="4" spans="1:3" ht="15.75" x14ac:dyDescent="0.25">
      <c r="A4" s="11">
        <v>1</v>
      </c>
      <c r="B4" s="9" t="s">
        <v>6</v>
      </c>
      <c r="C4" s="8">
        <v>3</v>
      </c>
    </row>
    <row r="5" spans="1:3" ht="15.75" x14ac:dyDescent="0.25">
      <c r="A5" s="11">
        <v>1</v>
      </c>
      <c r="B5" s="12" t="s">
        <v>50</v>
      </c>
      <c r="C5" s="11">
        <v>3</v>
      </c>
    </row>
    <row r="6" spans="1:3" ht="15.75" x14ac:dyDescent="0.25">
      <c r="A6" s="11">
        <v>1</v>
      </c>
      <c r="B6" s="12" t="s">
        <v>9</v>
      </c>
      <c r="C6" s="11">
        <v>2</v>
      </c>
    </row>
    <row r="7" spans="1:3" ht="15.75" x14ac:dyDescent="0.25">
      <c r="A7" s="11">
        <v>1</v>
      </c>
      <c r="B7" s="14" t="s">
        <v>47</v>
      </c>
      <c r="C7" s="15">
        <v>3</v>
      </c>
    </row>
    <row r="8" spans="1:3" ht="15.75" x14ac:dyDescent="0.25">
      <c r="A8" s="11">
        <v>1</v>
      </c>
      <c r="B8" s="9" t="s">
        <v>7</v>
      </c>
      <c r="C8" s="8">
        <v>2</v>
      </c>
    </row>
    <row r="9" spans="1:3" ht="15.75" x14ac:dyDescent="0.25">
      <c r="A9" s="11">
        <v>1</v>
      </c>
      <c r="B9" s="9" t="s">
        <v>51</v>
      </c>
      <c r="C9" s="11">
        <v>3</v>
      </c>
    </row>
    <row r="10" spans="1:3" ht="15.75" x14ac:dyDescent="0.25">
      <c r="A10" s="11"/>
      <c r="B10" s="29" t="s">
        <v>10</v>
      </c>
      <c r="C10" s="34">
        <f>SUM(C4:C9)</f>
        <v>16</v>
      </c>
    </row>
    <row r="11" spans="1:3" ht="15.75" x14ac:dyDescent="0.25">
      <c r="A11" s="11">
        <v>2</v>
      </c>
      <c r="B11" s="9" t="s">
        <v>79</v>
      </c>
      <c r="C11" s="8">
        <v>3</v>
      </c>
    </row>
    <row r="12" spans="1:3" ht="15.75" x14ac:dyDescent="0.25">
      <c r="A12" s="11">
        <v>2</v>
      </c>
      <c r="B12" s="9" t="s">
        <v>80</v>
      </c>
      <c r="C12" s="8">
        <v>3</v>
      </c>
    </row>
    <row r="13" spans="1:3" ht="15.75" x14ac:dyDescent="0.25">
      <c r="A13" s="11">
        <v>2</v>
      </c>
      <c r="B13" s="9" t="s">
        <v>15</v>
      </c>
      <c r="C13" s="8">
        <v>3</v>
      </c>
    </row>
    <row r="14" spans="1:3" ht="15.75" x14ac:dyDescent="0.25">
      <c r="A14" s="11">
        <v>2</v>
      </c>
      <c r="B14" s="9" t="s">
        <v>52</v>
      </c>
      <c r="C14" s="8">
        <v>4</v>
      </c>
    </row>
    <row r="15" spans="1:3" ht="15.75" x14ac:dyDescent="0.25">
      <c r="A15" s="11">
        <v>2</v>
      </c>
      <c r="B15" s="9" t="s">
        <v>54</v>
      </c>
      <c r="C15" s="8">
        <v>3</v>
      </c>
    </row>
    <row r="16" spans="1:3" ht="15.75" x14ac:dyDescent="0.25">
      <c r="A16" s="11">
        <v>2</v>
      </c>
      <c r="B16" s="9" t="s">
        <v>16</v>
      </c>
      <c r="C16" s="8">
        <v>2</v>
      </c>
    </row>
    <row r="17" spans="1:3" ht="15.75" x14ac:dyDescent="0.25">
      <c r="A17" s="11"/>
      <c r="B17" s="29" t="s">
        <v>10</v>
      </c>
      <c r="C17" s="34">
        <f>SUM(C11:C16)</f>
        <v>18</v>
      </c>
    </row>
    <row r="18" spans="1:3" ht="15.75" x14ac:dyDescent="0.25">
      <c r="A18" s="11">
        <v>3</v>
      </c>
      <c r="B18" s="9" t="s">
        <v>20</v>
      </c>
      <c r="C18" s="8">
        <v>3</v>
      </c>
    </row>
    <row r="19" spans="1:3" ht="15.75" x14ac:dyDescent="0.25">
      <c r="A19" s="11">
        <v>3</v>
      </c>
      <c r="B19" s="14" t="s">
        <v>55</v>
      </c>
      <c r="C19" s="11">
        <v>3</v>
      </c>
    </row>
    <row r="20" spans="1:3" ht="15.75" x14ac:dyDescent="0.25">
      <c r="A20" s="11">
        <v>3</v>
      </c>
      <c r="B20" s="9" t="s">
        <v>81</v>
      </c>
      <c r="C20" s="8">
        <v>3</v>
      </c>
    </row>
    <row r="21" spans="1:3" ht="15.75" x14ac:dyDescent="0.25">
      <c r="A21" s="11">
        <v>3</v>
      </c>
      <c r="B21" s="9" t="s">
        <v>17</v>
      </c>
      <c r="C21" s="8">
        <v>4</v>
      </c>
    </row>
    <row r="22" spans="1:3" ht="15.75" x14ac:dyDescent="0.25">
      <c r="A22" s="11">
        <v>3</v>
      </c>
      <c r="B22" s="9" t="s">
        <v>18</v>
      </c>
      <c r="C22" s="8">
        <v>3</v>
      </c>
    </row>
    <row r="23" spans="1:3" ht="15.75" x14ac:dyDescent="0.25">
      <c r="A23" s="11">
        <v>3</v>
      </c>
      <c r="B23" s="9" t="s">
        <v>82</v>
      </c>
      <c r="C23" s="8">
        <v>3</v>
      </c>
    </row>
    <row r="24" spans="1:3" ht="15.75" x14ac:dyDescent="0.25">
      <c r="A24" s="11"/>
      <c r="B24" s="29" t="s">
        <v>10</v>
      </c>
      <c r="C24" s="34">
        <f>SUM(C18:C23)</f>
        <v>19</v>
      </c>
    </row>
    <row r="25" spans="1:3" ht="15.75" x14ac:dyDescent="0.25">
      <c r="A25" s="11">
        <v>4</v>
      </c>
      <c r="B25" s="9" t="s">
        <v>19</v>
      </c>
      <c r="C25" s="8">
        <v>4</v>
      </c>
    </row>
    <row r="26" spans="1:3" ht="15.75" x14ac:dyDescent="0.25">
      <c r="A26" s="35">
        <v>4</v>
      </c>
      <c r="B26" s="9" t="s">
        <v>27</v>
      </c>
      <c r="C26" s="8">
        <v>4</v>
      </c>
    </row>
    <row r="27" spans="1:3" ht="15.75" x14ac:dyDescent="0.25">
      <c r="A27" s="11">
        <v>4</v>
      </c>
      <c r="B27" s="9" t="s">
        <v>83</v>
      </c>
      <c r="C27" s="8">
        <v>3</v>
      </c>
    </row>
    <row r="28" spans="1:3" ht="15.75" x14ac:dyDescent="0.25">
      <c r="A28" s="35">
        <v>4</v>
      </c>
      <c r="B28" s="9" t="s">
        <v>64</v>
      </c>
      <c r="C28" s="8">
        <v>3</v>
      </c>
    </row>
    <row r="29" spans="1:3" ht="15.75" x14ac:dyDescent="0.25">
      <c r="A29" s="11">
        <v>4</v>
      </c>
      <c r="B29" s="9" t="s">
        <v>29</v>
      </c>
      <c r="C29" s="8">
        <v>3</v>
      </c>
    </row>
    <row r="30" spans="1:3" ht="15.75" x14ac:dyDescent="0.25">
      <c r="A30" s="35">
        <v>4</v>
      </c>
      <c r="B30" s="9" t="s">
        <v>23</v>
      </c>
      <c r="C30" s="35">
        <v>2</v>
      </c>
    </row>
    <row r="31" spans="1:3" ht="15.75" x14ac:dyDescent="0.25">
      <c r="A31" s="11"/>
      <c r="B31" s="29" t="s">
        <v>10</v>
      </c>
      <c r="C31" s="34">
        <f>SUM(C25:C30)</f>
        <v>19</v>
      </c>
    </row>
    <row r="32" spans="1:3" ht="15.75" x14ac:dyDescent="0.25">
      <c r="A32" s="35">
        <v>5</v>
      </c>
      <c r="B32" s="9" t="s">
        <v>84</v>
      </c>
      <c r="C32" s="8">
        <v>3</v>
      </c>
    </row>
    <row r="33" spans="1:3" ht="15.75" x14ac:dyDescent="0.25">
      <c r="A33" s="35">
        <v>5</v>
      </c>
      <c r="B33" s="10" t="s">
        <v>85</v>
      </c>
      <c r="C33" s="8">
        <v>4</v>
      </c>
    </row>
    <row r="34" spans="1:3" ht="15.75" x14ac:dyDescent="0.25">
      <c r="A34" s="35">
        <v>5</v>
      </c>
      <c r="B34" s="9" t="s">
        <v>60</v>
      </c>
      <c r="C34" s="8">
        <v>4</v>
      </c>
    </row>
    <row r="35" spans="1:3" ht="15.75" x14ac:dyDescent="0.25">
      <c r="A35" s="35">
        <v>5</v>
      </c>
      <c r="B35" s="9" t="s">
        <v>86</v>
      </c>
      <c r="C35" s="8">
        <v>3</v>
      </c>
    </row>
    <row r="36" spans="1:3" ht="15.75" x14ac:dyDescent="0.25">
      <c r="A36" s="35">
        <v>5</v>
      </c>
      <c r="B36" s="9" t="s">
        <v>31</v>
      </c>
      <c r="C36" s="8">
        <v>4</v>
      </c>
    </row>
    <row r="37" spans="1:3" ht="15.75" x14ac:dyDescent="0.25">
      <c r="A37" s="11"/>
      <c r="B37" s="29" t="s">
        <v>10</v>
      </c>
      <c r="C37" s="34">
        <f>SUM(C32:C36)</f>
        <v>18</v>
      </c>
    </row>
    <row r="38" spans="1:3" ht="15.75" x14ac:dyDescent="0.25">
      <c r="A38" s="11">
        <v>6</v>
      </c>
      <c r="B38" s="9" t="s">
        <v>87</v>
      </c>
      <c r="C38" s="8">
        <v>3</v>
      </c>
    </row>
    <row r="39" spans="1:3" ht="15.75" x14ac:dyDescent="0.25">
      <c r="A39" s="11">
        <v>6</v>
      </c>
      <c r="B39" s="9" t="s">
        <v>69</v>
      </c>
      <c r="C39" s="8">
        <v>4</v>
      </c>
    </row>
    <row r="40" spans="1:3" ht="15.75" x14ac:dyDescent="0.25">
      <c r="A40" s="11">
        <v>6</v>
      </c>
      <c r="B40" s="9" t="s">
        <v>70</v>
      </c>
      <c r="C40" s="8">
        <v>3</v>
      </c>
    </row>
    <row r="41" spans="1:3" ht="15.75" x14ac:dyDescent="0.25">
      <c r="A41" s="11">
        <v>6</v>
      </c>
      <c r="B41" s="9" t="s">
        <v>21</v>
      </c>
      <c r="C41" s="8">
        <v>2</v>
      </c>
    </row>
    <row r="42" spans="1:3" ht="15.75" x14ac:dyDescent="0.25">
      <c r="A42" s="11">
        <v>6</v>
      </c>
      <c r="B42" s="9" t="s">
        <v>88</v>
      </c>
      <c r="C42" s="8">
        <v>3</v>
      </c>
    </row>
    <row r="43" spans="1:3" ht="15.75" x14ac:dyDescent="0.25">
      <c r="A43" s="11">
        <v>6</v>
      </c>
      <c r="B43" s="36" t="s">
        <v>89</v>
      </c>
      <c r="C43" s="15">
        <v>3</v>
      </c>
    </row>
    <row r="44" spans="1:3" ht="15.75" x14ac:dyDescent="0.25">
      <c r="A44" s="11"/>
      <c r="B44" s="29" t="s">
        <v>10</v>
      </c>
      <c r="C44" s="34">
        <f>SUM(C38:C43)</f>
        <v>18</v>
      </c>
    </row>
    <row r="45" spans="1:3" s="37" customFormat="1" ht="15.75" x14ac:dyDescent="0.25">
      <c r="A45" s="11">
        <v>7</v>
      </c>
      <c r="B45" s="9" t="s">
        <v>73</v>
      </c>
      <c r="C45" s="8">
        <v>3</v>
      </c>
    </row>
    <row r="46" spans="1:3" ht="15.75" x14ac:dyDescent="0.25">
      <c r="A46" s="11">
        <v>7</v>
      </c>
      <c r="B46" s="36" t="s">
        <v>90</v>
      </c>
      <c r="C46" s="15">
        <v>3</v>
      </c>
    </row>
    <row r="47" spans="1:3" ht="15.75" x14ac:dyDescent="0.25">
      <c r="A47" s="11">
        <v>7</v>
      </c>
      <c r="B47" s="9" t="s">
        <v>91</v>
      </c>
      <c r="C47" s="35">
        <v>4</v>
      </c>
    </row>
    <row r="48" spans="1:3" ht="15.75" x14ac:dyDescent="0.25">
      <c r="A48" s="11">
        <v>7</v>
      </c>
      <c r="B48" s="9" t="s">
        <v>72</v>
      </c>
      <c r="C48" s="8">
        <v>4</v>
      </c>
    </row>
    <row r="49" spans="1:3" s="38" customFormat="1" ht="15.75" x14ac:dyDescent="0.25">
      <c r="A49" s="11">
        <v>7</v>
      </c>
      <c r="B49" s="9" t="s">
        <v>92</v>
      </c>
      <c r="C49" s="11">
        <v>3</v>
      </c>
    </row>
    <row r="50" spans="1:3" ht="15.75" x14ac:dyDescent="0.25">
      <c r="A50" s="11"/>
      <c r="B50" s="29" t="s">
        <v>10</v>
      </c>
      <c r="C50" s="34">
        <f>SUM(C45:C49)</f>
        <v>17</v>
      </c>
    </row>
    <row r="51" spans="1:3" ht="15.75" x14ac:dyDescent="0.25">
      <c r="A51" s="11"/>
      <c r="B51" s="39" t="s">
        <v>93</v>
      </c>
      <c r="C51" s="8">
        <v>2</v>
      </c>
    </row>
    <row r="52" spans="1:3" ht="15.75" x14ac:dyDescent="0.25">
      <c r="A52" s="11">
        <v>8</v>
      </c>
      <c r="B52" s="9" t="s">
        <v>44</v>
      </c>
      <c r="C52" s="8">
        <v>6</v>
      </c>
    </row>
    <row r="53" spans="1:3" ht="15.75" x14ac:dyDescent="0.25">
      <c r="A53" s="35">
        <v>8</v>
      </c>
      <c r="B53" s="9" t="s">
        <v>77</v>
      </c>
      <c r="C53" s="8">
        <v>4</v>
      </c>
    </row>
    <row r="54" spans="1:3" ht="15.75" x14ac:dyDescent="0.25">
      <c r="A54" s="11"/>
      <c r="B54" s="29" t="s">
        <v>10</v>
      </c>
      <c r="C54" s="34">
        <f>SUM(C51:C53)</f>
        <v>12</v>
      </c>
    </row>
    <row r="55" spans="1:3" ht="15.75" x14ac:dyDescent="0.25">
      <c r="A55" s="11"/>
      <c r="B55" s="28"/>
      <c r="C55" s="28"/>
    </row>
    <row r="56" spans="1:3" ht="15.75" x14ac:dyDescent="0.25">
      <c r="A56" s="11"/>
      <c r="B56" s="29" t="s">
        <v>46</v>
      </c>
      <c r="C56" s="40">
        <f>C54+C50+C44+C37+C31+C24+C17+C10</f>
        <v>137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Networking</vt:lpstr>
      <vt:lpstr>Software</vt:lpstr>
      <vt:lpstr>Information-Mgt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dcterms:created xsi:type="dcterms:W3CDTF">2021-04-09T08:33:03Z</dcterms:created>
  <dcterms:modified xsi:type="dcterms:W3CDTF">2023-04-13T13:39:05Z</dcterms:modified>
</cp:coreProperties>
</file>